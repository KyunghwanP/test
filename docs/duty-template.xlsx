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감독표" sheetId="1" state="visible" r:id="rId1"/>
    <sheet name="명렬" sheetId="2" state="visible" r:id="rId2"/>
    <sheet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맑은 고딕"/>
      <b val="1"/>
    </font>
    <font>
      <name val="맑은 고딕"/>
      <b val="1"/>
      <color rgb="000000FF"/>
    </font>
    <font>
      <name val="맑은 고딕"/>
      <color rgb="0064748B"/>
      <sz val="9"/>
    </font>
    <font>
      <name val="맑은 고딕"/>
      <color rgb="00475569"/>
      <sz val="9"/>
    </font>
    <font>
      <name val="맑은 고딕"/>
    </font>
    <font>
      <name val="맑은 고딕"/>
      <color rgb="000000FF"/>
    </font>
    <font>
      <name val="맑은 고딕"/>
      <color rgb="0064748B"/>
    </font>
    <font>
      <name val="맑은 고딕"/>
      <b val="1"/>
      <color rgb="00B91C1C"/>
    </font>
    <font>
      <name val="맑은 고딕"/>
      <b val="1"/>
      <sz val="13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164" fontId="6" fillId="2" borderId="1" applyAlignment="1" pivotButton="0" quotePrefix="0" xfId="0">
      <alignment horizontal="center"/>
    </xf>
    <xf numFmtId="0" fontId="1" fillId="3" borderId="1" pivotButton="0" quotePrefix="0" xfId="0"/>
    <xf numFmtId="0" fontId="6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ont>
        <name val="맑은 고딕"/>
        <color rgb="00B91C1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양식</author>
  </authors>
  <commentList>
    <comment ref="A27" authorId="0" shapeId="0">
      <text>
        <t>여기부터는 날짜를 직접 적는 줄입니다 (예: 2026-11-14).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6" customWidth="1" min="5" max="5"/>
    <col width="18" customWidth="1" min="6" max="6"/>
    <col width="40" customWidth="1" min="7" max="7"/>
  </cols>
  <sheetData>
    <row r="1">
      <c r="A1" s="1" t="inlineStr">
        <is>
          <t>학년</t>
        </is>
      </c>
      <c r="B1" s="2" t="n">
        <v>1</v>
      </c>
      <c r="C1" s="1" t="inlineStr">
        <is>
          <t>연도</t>
        </is>
      </c>
      <c r="D1" s="2" t="n">
        <v>2026</v>
      </c>
      <c r="E1" s="1" t="inlineStr">
        <is>
          <t>월</t>
        </is>
      </c>
      <c r="F1" s="2" t="n">
        <v>11</v>
      </c>
      <c r="G1" s="3" t="inlineStr">
        <is>
          <t>← 노란 칸만 고칩니다. 월을 바꾸면 그달 평일이 날짜 칸에 채워집니다.</t>
        </is>
      </c>
    </row>
    <row r="2" ht="42" customHeight="1">
      <c r="A2" s="4" t="inlineStr">
        <is>
          <t>자율학습이 없는 날은 그 줄의 날짜 칸을 지우세요(Delete). 토요일 등은 아래 빈 줄에 날짜를 직접 적습니다. 다 채우면 A~D열(날짜·감독1·감독2·감독3)을 드래그해 복사 → 앱 「감독표 → 배정」에 붙여 넣기.</t>
        </is>
      </c>
    </row>
    <row r="3">
      <c r="A3" s="5" t="inlineStr">
        <is>
          <t>날짜</t>
        </is>
      </c>
      <c r="B3" s="5" t="inlineStr">
        <is>
          <t>감독1</t>
        </is>
      </c>
      <c r="C3" s="5" t="inlineStr">
        <is>
          <t>감독2</t>
        </is>
      </c>
      <c r="D3" s="5" t="inlineStr">
        <is>
          <t>감독3 (심야)</t>
        </is>
      </c>
      <c r="E3" s="5" t="inlineStr">
        <is>
          <t>요일</t>
        </is>
      </c>
      <c r="F3" s="5" t="inlineStr">
        <is>
          <t>확인</t>
        </is>
      </c>
    </row>
    <row r="4">
      <c r="A4" s="6">
        <f>IF(MONTH(((DATE($D$1,$F$1,1)+CHOOSE(WEEKDAY(DATE($D$1,$F$1,1)),1,0,0,0,0,0,2))+0+2*INT((WEEKDAY((DATE($D$1,$F$1,1)+CHOOSE(WEEKDAY(DATE($D$1,$F$1,1)),1,0,0,0,0,0,2)),2)-1+0)/5)))=$F$1,((DATE($D$1,$F$1,1)+CHOOSE(WEEKDAY(DATE($D$1,$F$1,1)),1,0,0,0,0,0,2))+0+2*INT((WEEKDAY((DATE($D$1,$F$1,1)+CHOOSE(WEEKDAY(DATE($D$1,$F$1,1)),1,0,0,0,0,0,2)),2)-1+0)/5)),"")</f>
        <v/>
      </c>
      <c r="B4" s="7" t="n"/>
      <c r="C4" s="7" t="n"/>
      <c r="D4" s="7" t="n"/>
      <c r="E4" s="8">
        <f>IF(A4="","",CHOOSE(WEEKDAY(A4),"일","월","화","수","목","금","토"))</f>
        <v/>
      </c>
      <c r="F4" s="9">
        <f>IF(COUNTA(B4:D4)=0,"",IF(A4="","날짜 없음",IF(OR(AND(B4&lt;&gt;"",B4=C4),AND(B4&lt;&gt;"",B4=D4),AND(C4&lt;&gt;"",C4=D4)),"같은 사람 두 칸",IF(COUNTA('명렬'!$A$2:$A$400)=0,"",IF(OR(AND(B4&lt;&gt;"",COUNTIF('명렬'!$A$2:$A$400,B4)=0),AND(C4&lt;&gt;"",COUNTIF('명렬'!$A$2:$A$400,C4)=0),AND(D4&lt;&gt;"",COUNTIF('명렬'!$A$2:$A$400,D4)=0)),"명렬에 없는 이름","")))))</f>
        <v/>
      </c>
    </row>
    <row r="5">
      <c r="A5" s="6">
        <f>IF(MONTH(((DATE($D$1,$F$1,1)+CHOOSE(WEEKDAY(DATE($D$1,$F$1,1)),1,0,0,0,0,0,2))+1+2*INT((WEEKDAY((DATE($D$1,$F$1,1)+CHOOSE(WEEKDAY(DATE($D$1,$F$1,1)),1,0,0,0,0,0,2)),2)-1+1)/5)))=$F$1,((DATE($D$1,$F$1,1)+CHOOSE(WEEKDAY(DATE($D$1,$F$1,1)),1,0,0,0,0,0,2))+1+2*INT((WEEKDAY((DATE($D$1,$F$1,1)+CHOOSE(WEEKDAY(DATE($D$1,$F$1,1)),1,0,0,0,0,0,2)),2)-1+1)/5)),"")</f>
        <v/>
      </c>
      <c r="B5" s="7" t="n"/>
      <c r="C5" s="7" t="n"/>
      <c r="D5" s="7" t="n"/>
      <c r="E5" s="8">
        <f>IF(A5="","",CHOOSE(WEEKDAY(A5),"일","월","화","수","목","금","토"))</f>
        <v/>
      </c>
      <c r="F5" s="9">
        <f>IF(COUNTA(B5:D5)=0,"",IF(A5="","날짜 없음",IF(OR(AND(B5&lt;&gt;"",B5=C5),AND(B5&lt;&gt;"",B5=D5),AND(C5&lt;&gt;"",C5=D5)),"같은 사람 두 칸",IF(COUNTA('명렬'!$A$2:$A$400)=0,"",IF(OR(AND(B5&lt;&gt;"",COUNTIF('명렬'!$A$2:$A$400,B5)=0),AND(C5&lt;&gt;"",COUNTIF('명렬'!$A$2:$A$400,C5)=0),AND(D5&lt;&gt;"",COUNTIF('명렬'!$A$2:$A$400,D5)=0)),"명렬에 없는 이름","")))))</f>
        <v/>
      </c>
    </row>
    <row r="6">
      <c r="A6" s="6">
        <f>IF(MONTH(((DATE($D$1,$F$1,1)+CHOOSE(WEEKDAY(DATE($D$1,$F$1,1)),1,0,0,0,0,0,2))+2+2*INT((WEEKDAY((DATE($D$1,$F$1,1)+CHOOSE(WEEKDAY(DATE($D$1,$F$1,1)),1,0,0,0,0,0,2)),2)-1+2)/5)))=$F$1,((DATE($D$1,$F$1,1)+CHOOSE(WEEKDAY(DATE($D$1,$F$1,1)),1,0,0,0,0,0,2))+2+2*INT((WEEKDAY((DATE($D$1,$F$1,1)+CHOOSE(WEEKDAY(DATE($D$1,$F$1,1)),1,0,0,0,0,0,2)),2)-1+2)/5)),"")</f>
        <v/>
      </c>
      <c r="B6" s="7" t="n"/>
      <c r="C6" s="7" t="n"/>
      <c r="D6" s="7" t="n"/>
      <c r="E6" s="8">
        <f>IF(A6="","",CHOOSE(WEEKDAY(A6),"일","월","화","수","목","금","토"))</f>
        <v/>
      </c>
      <c r="F6" s="9">
        <f>IF(COUNTA(B6:D6)=0,"",IF(A6="","날짜 없음",IF(OR(AND(B6&lt;&gt;"",B6=C6),AND(B6&lt;&gt;"",B6=D6),AND(C6&lt;&gt;"",C6=D6)),"같은 사람 두 칸",IF(COUNTA('명렬'!$A$2:$A$400)=0,"",IF(OR(AND(B6&lt;&gt;"",COUNTIF('명렬'!$A$2:$A$400,B6)=0),AND(C6&lt;&gt;"",COUNTIF('명렬'!$A$2:$A$400,C6)=0),AND(D6&lt;&gt;"",COUNTIF('명렬'!$A$2:$A$400,D6)=0)),"명렬에 없는 이름","")))))</f>
        <v/>
      </c>
    </row>
    <row r="7">
      <c r="A7" s="6">
        <f>IF(MONTH(((DATE($D$1,$F$1,1)+CHOOSE(WEEKDAY(DATE($D$1,$F$1,1)),1,0,0,0,0,0,2))+3+2*INT((WEEKDAY((DATE($D$1,$F$1,1)+CHOOSE(WEEKDAY(DATE($D$1,$F$1,1)),1,0,0,0,0,0,2)),2)-1+3)/5)))=$F$1,((DATE($D$1,$F$1,1)+CHOOSE(WEEKDAY(DATE($D$1,$F$1,1)),1,0,0,0,0,0,2))+3+2*INT((WEEKDAY((DATE($D$1,$F$1,1)+CHOOSE(WEEKDAY(DATE($D$1,$F$1,1)),1,0,0,0,0,0,2)),2)-1+3)/5)),"")</f>
        <v/>
      </c>
      <c r="B7" s="7" t="n"/>
      <c r="C7" s="7" t="n"/>
      <c r="D7" s="7" t="n"/>
      <c r="E7" s="8">
        <f>IF(A7="","",CHOOSE(WEEKDAY(A7),"일","월","화","수","목","금","토"))</f>
        <v/>
      </c>
      <c r="F7" s="9">
        <f>IF(COUNTA(B7:D7)=0,"",IF(A7="","날짜 없음",IF(OR(AND(B7&lt;&gt;"",B7=C7),AND(B7&lt;&gt;"",B7=D7),AND(C7&lt;&gt;"",C7=D7)),"같은 사람 두 칸",IF(COUNTA('명렬'!$A$2:$A$400)=0,"",IF(OR(AND(B7&lt;&gt;"",COUNTIF('명렬'!$A$2:$A$400,B7)=0),AND(C7&lt;&gt;"",COUNTIF('명렬'!$A$2:$A$400,C7)=0),AND(D7&lt;&gt;"",COUNTIF('명렬'!$A$2:$A$400,D7)=0)),"명렬에 없는 이름","")))))</f>
        <v/>
      </c>
    </row>
    <row r="8">
      <c r="A8" s="6">
        <f>IF(MONTH(((DATE($D$1,$F$1,1)+CHOOSE(WEEKDAY(DATE($D$1,$F$1,1)),1,0,0,0,0,0,2))+4+2*INT((WEEKDAY((DATE($D$1,$F$1,1)+CHOOSE(WEEKDAY(DATE($D$1,$F$1,1)),1,0,0,0,0,0,2)),2)-1+4)/5)))=$F$1,((DATE($D$1,$F$1,1)+CHOOSE(WEEKDAY(DATE($D$1,$F$1,1)),1,0,0,0,0,0,2))+4+2*INT((WEEKDAY((DATE($D$1,$F$1,1)+CHOOSE(WEEKDAY(DATE($D$1,$F$1,1)),1,0,0,0,0,0,2)),2)-1+4)/5)),"")</f>
        <v/>
      </c>
      <c r="B8" s="7" t="n"/>
      <c r="C8" s="7" t="n"/>
      <c r="D8" s="7" t="n"/>
      <c r="E8" s="8">
        <f>IF(A8="","",CHOOSE(WEEKDAY(A8),"일","월","화","수","목","금","토"))</f>
        <v/>
      </c>
      <c r="F8" s="9">
        <f>IF(COUNTA(B8:D8)=0,"",IF(A8="","날짜 없음",IF(OR(AND(B8&lt;&gt;"",B8=C8),AND(B8&lt;&gt;"",B8=D8),AND(C8&lt;&gt;"",C8=D8)),"같은 사람 두 칸",IF(COUNTA('명렬'!$A$2:$A$400)=0,"",IF(OR(AND(B8&lt;&gt;"",COUNTIF('명렬'!$A$2:$A$400,B8)=0),AND(C8&lt;&gt;"",COUNTIF('명렬'!$A$2:$A$400,C8)=0),AND(D8&lt;&gt;"",COUNTIF('명렬'!$A$2:$A$400,D8)=0)),"명렬에 없는 이름","")))))</f>
        <v/>
      </c>
    </row>
    <row r="9">
      <c r="A9" s="6">
        <f>IF(MONTH(((DATE($D$1,$F$1,1)+CHOOSE(WEEKDAY(DATE($D$1,$F$1,1)),1,0,0,0,0,0,2))+5+2*INT((WEEKDAY((DATE($D$1,$F$1,1)+CHOOSE(WEEKDAY(DATE($D$1,$F$1,1)),1,0,0,0,0,0,2)),2)-1+5)/5)))=$F$1,((DATE($D$1,$F$1,1)+CHOOSE(WEEKDAY(DATE($D$1,$F$1,1)),1,0,0,0,0,0,2))+5+2*INT((WEEKDAY((DATE($D$1,$F$1,1)+CHOOSE(WEEKDAY(DATE($D$1,$F$1,1)),1,0,0,0,0,0,2)),2)-1+5)/5)),"")</f>
        <v/>
      </c>
      <c r="B9" s="7" t="n"/>
      <c r="C9" s="7" t="n"/>
      <c r="D9" s="7" t="n"/>
      <c r="E9" s="8">
        <f>IF(A9="","",CHOOSE(WEEKDAY(A9),"일","월","화","수","목","금","토"))</f>
        <v/>
      </c>
      <c r="F9" s="9">
        <f>IF(COUNTA(B9:D9)=0,"",IF(A9="","날짜 없음",IF(OR(AND(B9&lt;&gt;"",B9=C9),AND(B9&lt;&gt;"",B9=D9),AND(C9&lt;&gt;"",C9=D9)),"같은 사람 두 칸",IF(COUNTA('명렬'!$A$2:$A$400)=0,"",IF(OR(AND(B9&lt;&gt;"",COUNTIF('명렬'!$A$2:$A$400,B9)=0),AND(C9&lt;&gt;"",COUNTIF('명렬'!$A$2:$A$400,C9)=0),AND(D9&lt;&gt;"",COUNTIF('명렬'!$A$2:$A$400,D9)=0)),"명렬에 없는 이름","")))))</f>
        <v/>
      </c>
    </row>
    <row r="10">
      <c r="A10" s="6">
        <f>IF(MONTH(((DATE($D$1,$F$1,1)+CHOOSE(WEEKDAY(DATE($D$1,$F$1,1)),1,0,0,0,0,0,2))+6+2*INT((WEEKDAY((DATE($D$1,$F$1,1)+CHOOSE(WEEKDAY(DATE($D$1,$F$1,1)),1,0,0,0,0,0,2)),2)-1+6)/5)))=$F$1,((DATE($D$1,$F$1,1)+CHOOSE(WEEKDAY(DATE($D$1,$F$1,1)),1,0,0,0,0,0,2))+6+2*INT((WEEKDAY((DATE($D$1,$F$1,1)+CHOOSE(WEEKDAY(DATE($D$1,$F$1,1)),1,0,0,0,0,0,2)),2)-1+6)/5)),"")</f>
        <v/>
      </c>
      <c r="B10" s="7" t="n"/>
      <c r="C10" s="7" t="n"/>
      <c r="D10" s="7" t="n"/>
      <c r="E10" s="8">
        <f>IF(A10="","",CHOOSE(WEEKDAY(A10),"일","월","화","수","목","금","토"))</f>
        <v/>
      </c>
      <c r="F10" s="9">
        <f>IF(COUNTA(B10:D10)=0,"",IF(A10="","날짜 없음",IF(OR(AND(B10&lt;&gt;"",B10=C10),AND(B10&lt;&gt;"",B10=D10),AND(C10&lt;&gt;"",C10=D10)),"같은 사람 두 칸",IF(COUNTA('명렬'!$A$2:$A$400)=0,"",IF(OR(AND(B10&lt;&gt;"",COUNTIF('명렬'!$A$2:$A$400,B10)=0),AND(C10&lt;&gt;"",COUNTIF('명렬'!$A$2:$A$400,C10)=0),AND(D10&lt;&gt;"",COUNTIF('명렬'!$A$2:$A$400,D10)=0)),"명렬에 없는 이름","")))))</f>
        <v/>
      </c>
    </row>
    <row r="11">
      <c r="A11" s="6">
        <f>IF(MONTH(((DATE($D$1,$F$1,1)+CHOOSE(WEEKDAY(DATE($D$1,$F$1,1)),1,0,0,0,0,0,2))+7+2*INT((WEEKDAY((DATE($D$1,$F$1,1)+CHOOSE(WEEKDAY(DATE($D$1,$F$1,1)),1,0,0,0,0,0,2)),2)-1+7)/5)))=$F$1,((DATE($D$1,$F$1,1)+CHOOSE(WEEKDAY(DATE($D$1,$F$1,1)),1,0,0,0,0,0,2))+7+2*INT((WEEKDAY((DATE($D$1,$F$1,1)+CHOOSE(WEEKDAY(DATE($D$1,$F$1,1)),1,0,0,0,0,0,2)),2)-1+7)/5)),"")</f>
        <v/>
      </c>
      <c r="B11" s="7" t="n"/>
      <c r="C11" s="7" t="n"/>
      <c r="D11" s="7" t="n"/>
      <c r="E11" s="8">
        <f>IF(A11="","",CHOOSE(WEEKDAY(A11),"일","월","화","수","목","금","토"))</f>
        <v/>
      </c>
      <c r="F11" s="9">
        <f>IF(COUNTA(B11:D11)=0,"",IF(A11="","날짜 없음",IF(OR(AND(B11&lt;&gt;"",B11=C11),AND(B11&lt;&gt;"",B11=D11),AND(C11&lt;&gt;"",C11=D11)),"같은 사람 두 칸",IF(COUNTA('명렬'!$A$2:$A$400)=0,"",IF(OR(AND(B11&lt;&gt;"",COUNTIF('명렬'!$A$2:$A$400,B11)=0),AND(C11&lt;&gt;"",COUNTIF('명렬'!$A$2:$A$400,C11)=0),AND(D11&lt;&gt;"",COUNTIF('명렬'!$A$2:$A$400,D11)=0)),"명렬에 없는 이름","")))))</f>
        <v/>
      </c>
    </row>
    <row r="12">
      <c r="A12" s="6">
        <f>IF(MONTH(((DATE($D$1,$F$1,1)+CHOOSE(WEEKDAY(DATE($D$1,$F$1,1)),1,0,0,0,0,0,2))+8+2*INT((WEEKDAY((DATE($D$1,$F$1,1)+CHOOSE(WEEKDAY(DATE($D$1,$F$1,1)),1,0,0,0,0,0,2)),2)-1+8)/5)))=$F$1,((DATE($D$1,$F$1,1)+CHOOSE(WEEKDAY(DATE($D$1,$F$1,1)),1,0,0,0,0,0,2))+8+2*INT((WEEKDAY((DATE($D$1,$F$1,1)+CHOOSE(WEEKDAY(DATE($D$1,$F$1,1)),1,0,0,0,0,0,2)),2)-1+8)/5)),"")</f>
        <v/>
      </c>
      <c r="B12" s="7" t="n"/>
      <c r="C12" s="7" t="n"/>
      <c r="D12" s="7" t="n"/>
      <c r="E12" s="8">
        <f>IF(A12="","",CHOOSE(WEEKDAY(A12),"일","월","화","수","목","금","토"))</f>
        <v/>
      </c>
      <c r="F12" s="9">
        <f>IF(COUNTA(B12:D12)=0,"",IF(A12="","날짜 없음",IF(OR(AND(B12&lt;&gt;"",B12=C12),AND(B12&lt;&gt;"",B12=D12),AND(C12&lt;&gt;"",C12=D12)),"같은 사람 두 칸",IF(COUNTA('명렬'!$A$2:$A$400)=0,"",IF(OR(AND(B12&lt;&gt;"",COUNTIF('명렬'!$A$2:$A$400,B12)=0),AND(C12&lt;&gt;"",COUNTIF('명렬'!$A$2:$A$400,C12)=0),AND(D12&lt;&gt;"",COUNTIF('명렬'!$A$2:$A$400,D12)=0)),"명렬에 없는 이름","")))))</f>
        <v/>
      </c>
    </row>
    <row r="13">
      <c r="A13" s="6">
        <f>IF(MONTH(((DATE($D$1,$F$1,1)+CHOOSE(WEEKDAY(DATE($D$1,$F$1,1)),1,0,0,0,0,0,2))+9+2*INT((WEEKDAY((DATE($D$1,$F$1,1)+CHOOSE(WEEKDAY(DATE($D$1,$F$1,1)),1,0,0,0,0,0,2)),2)-1+9)/5)))=$F$1,((DATE($D$1,$F$1,1)+CHOOSE(WEEKDAY(DATE($D$1,$F$1,1)),1,0,0,0,0,0,2))+9+2*INT((WEEKDAY((DATE($D$1,$F$1,1)+CHOOSE(WEEKDAY(DATE($D$1,$F$1,1)),1,0,0,0,0,0,2)),2)-1+9)/5)),"")</f>
        <v/>
      </c>
      <c r="B13" s="7" t="n"/>
      <c r="C13" s="7" t="n"/>
      <c r="D13" s="7" t="n"/>
      <c r="E13" s="8">
        <f>IF(A13="","",CHOOSE(WEEKDAY(A13),"일","월","화","수","목","금","토"))</f>
        <v/>
      </c>
      <c r="F13" s="9">
        <f>IF(COUNTA(B13:D13)=0,"",IF(A13="","날짜 없음",IF(OR(AND(B13&lt;&gt;"",B13=C13),AND(B13&lt;&gt;"",B13=D13),AND(C13&lt;&gt;"",C13=D13)),"같은 사람 두 칸",IF(COUNTA('명렬'!$A$2:$A$400)=0,"",IF(OR(AND(B13&lt;&gt;"",COUNTIF('명렬'!$A$2:$A$400,B13)=0),AND(C13&lt;&gt;"",COUNTIF('명렬'!$A$2:$A$400,C13)=0),AND(D13&lt;&gt;"",COUNTIF('명렬'!$A$2:$A$400,D13)=0)),"명렬에 없는 이름","")))))</f>
        <v/>
      </c>
    </row>
    <row r="14">
      <c r="A14" s="6">
        <f>IF(MONTH(((DATE($D$1,$F$1,1)+CHOOSE(WEEKDAY(DATE($D$1,$F$1,1)),1,0,0,0,0,0,2))+10+2*INT((WEEKDAY((DATE($D$1,$F$1,1)+CHOOSE(WEEKDAY(DATE($D$1,$F$1,1)),1,0,0,0,0,0,2)),2)-1+10)/5)))=$F$1,((DATE($D$1,$F$1,1)+CHOOSE(WEEKDAY(DATE($D$1,$F$1,1)),1,0,0,0,0,0,2))+10+2*INT((WEEKDAY((DATE($D$1,$F$1,1)+CHOOSE(WEEKDAY(DATE($D$1,$F$1,1)),1,0,0,0,0,0,2)),2)-1+10)/5)),"")</f>
        <v/>
      </c>
      <c r="B14" s="7" t="n"/>
      <c r="C14" s="7" t="n"/>
      <c r="D14" s="7" t="n"/>
      <c r="E14" s="8">
        <f>IF(A14="","",CHOOSE(WEEKDAY(A14),"일","월","화","수","목","금","토"))</f>
        <v/>
      </c>
      <c r="F14" s="9">
        <f>IF(COUNTA(B14:D14)=0,"",IF(A14="","날짜 없음",IF(OR(AND(B14&lt;&gt;"",B14=C14),AND(B14&lt;&gt;"",B14=D14),AND(C14&lt;&gt;"",C14=D14)),"같은 사람 두 칸",IF(COUNTA('명렬'!$A$2:$A$400)=0,"",IF(OR(AND(B14&lt;&gt;"",COUNTIF('명렬'!$A$2:$A$400,B14)=0),AND(C14&lt;&gt;"",COUNTIF('명렬'!$A$2:$A$400,C14)=0),AND(D14&lt;&gt;"",COUNTIF('명렬'!$A$2:$A$400,D14)=0)),"명렬에 없는 이름","")))))</f>
        <v/>
      </c>
    </row>
    <row r="15">
      <c r="A15" s="6">
        <f>IF(MONTH(((DATE($D$1,$F$1,1)+CHOOSE(WEEKDAY(DATE($D$1,$F$1,1)),1,0,0,0,0,0,2))+11+2*INT((WEEKDAY((DATE($D$1,$F$1,1)+CHOOSE(WEEKDAY(DATE($D$1,$F$1,1)),1,0,0,0,0,0,2)),2)-1+11)/5)))=$F$1,((DATE($D$1,$F$1,1)+CHOOSE(WEEKDAY(DATE($D$1,$F$1,1)),1,0,0,0,0,0,2))+11+2*INT((WEEKDAY((DATE($D$1,$F$1,1)+CHOOSE(WEEKDAY(DATE($D$1,$F$1,1)),1,0,0,0,0,0,2)),2)-1+11)/5)),"")</f>
        <v/>
      </c>
      <c r="B15" s="7" t="n"/>
      <c r="C15" s="7" t="n"/>
      <c r="D15" s="7" t="n"/>
      <c r="E15" s="8">
        <f>IF(A15="","",CHOOSE(WEEKDAY(A15),"일","월","화","수","목","금","토"))</f>
        <v/>
      </c>
      <c r="F15" s="9">
        <f>IF(COUNTA(B15:D15)=0,"",IF(A15="","날짜 없음",IF(OR(AND(B15&lt;&gt;"",B15=C15),AND(B15&lt;&gt;"",B15=D15),AND(C15&lt;&gt;"",C15=D15)),"같은 사람 두 칸",IF(COUNTA('명렬'!$A$2:$A$400)=0,"",IF(OR(AND(B15&lt;&gt;"",COUNTIF('명렬'!$A$2:$A$400,B15)=0),AND(C15&lt;&gt;"",COUNTIF('명렬'!$A$2:$A$400,C15)=0),AND(D15&lt;&gt;"",COUNTIF('명렬'!$A$2:$A$400,D15)=0)),"명렬에 없는 이름","")))))</f>
        <v/>
      </c>
    </row>
    <row r="16">
      <c r="A16" s="6">
        <f>IF(MONTH(((DATE($D$1,$F$1,1)+CHOOSE(WEEKDAY(DATE($D$1,$F$1,1)),1,0,0,0,0,0,2))+12+2*INT((WEEKDAY((DATE($D$1,$F$1,1)+CHOOSE(WEEKDAY(DATE($D$1,$F$1,1)),1,0,0,0,0,0,2)),2)-1+12)/5)))=$F$1,((DATE($D$1,$F$1,1)+CHOOSE(WEEKDAY(DATE($D$1,$F$1,1)),1,0,0,0,0,0,2))+12+2*INT((WEEKDAY((DATE($D$1,$F$1,1)+CHOOSE(WEEKDAY(DATE($D$1,$F$1,1)),1,0,0,0,0,0,2)),2)-1+12)/5)),"")</f>
        <v/>
      </c>
      <c r="B16" s="7" t="n"/>
      <c r="C16" s="7" t="n"/>
      <c r="D16" s="7" t="n"/>
      <c r="E16" s="8">
        <f>IF(A16="","",CHOOSE(WEEKDAY(A16),"일","월","화","수","목","금","토"))</f>
        <v/>
      </c>
      <c r="F16" s="9">
        <f>IF(COUNTA(B16:D16)=0,"",IF(A16="","날짜 없음",IF(OR(AND(B16&lt;&gt;"",B16=C16),AND(B16&lt;&gt;"",B16=D16),AND(C16&lt;&gt;"",C16=D16)),"같은 사람 두 칸",IF(COUNTA('명렬'!$A$2:$A$400)=0,"",IF(OR(AND(B16&lt;&gt;"",COUNTIF('명렬'!$A$2:$A$400,B16)=0),AND(C16&lt;&gt;"",COUNTIF('명렬'!$A$2:$A$400,C16)=0),AND(D16&lt;&gt;"",COUNTIF('명렬'!$A$2:$A$400,D16)=0)),"명렬에 없는 이름","")))))</f>
        <v/>
      </c>
    </row>
    <row r="17">
      <c r="A17" s="6">
        <f>IF(MONTH(((DATE($D$1,$F$1,1)+CHOOSE(WEEKDAY(DATE($D$1,$F$1,1)),1,0,0,0,0,0,2))+13+2*INT((WEEKDAY((DATE($D$1,$F$1,1)+CHOOSE(WEEKDAY(DATE($D$1,$F$1,1)),1,0,0,0,0,0,2)),2)-1+13)/5)))=$F$1,((DATE($D$1,$F$1,1)+CHOOSE(WEEKDAY(DATE($D$1,$F$1,1)),1,0,0,0,0,0,2))+13+2*INT((WEEKDAY((DATE($D$1,$F$1,1)+CHOOSE(WEEKDAY(DATE($D$1,$F$1,1)),1,0,0,0,0,0,2)),2)-1+13)/5)),"")</f>
        <v/>
      </c>
      <c r="B17" s="7" t="n"/>
      <c r="C17" s="7" t="n"/>
      <c r="D17" s="7" t="n"/>
      <c r="E17" s="8">
        <f>IF(A17="","",CHOOSE(WEEKDAY(A17),"일","월","화","수","목","금","토"))</f>
        <v/>
      </c>
      <c r="F17" s="9">
        <f>IF(COUNTA(B17:D17)=0,"",IF(A17="","날짜 없음",IF(OR(AND(B17&lt;&gt;"",B17=C17),AND(B17&lt;&gt;"",B17=D17),AND(C17&lt;&gt;"",C17=D17)),"같은 사람 두 칸",IF(COUNTA('명렬'!$A$2:$A$400)=0,"",IF(OR(AND(B17&lt;&gt;"",COUNTIF('명렬'!$A$2:$A$400,B17)=0),AND(C17&lt;&gt;"",COUNTIF('명렬'!$A$2:$A$400,C17)=0),AND(D17&lt;&gt;"",COUNTIF('명렬'!$A$2:$A$400,D17)=0)),"명렬에 없는 이름","")))))</f>
        <v/>
      </c>
    </row>
    <row r="18">
      <c r="A18" s="6">
        <f>IF(MONTH(((DATE($D$1,$F$1,1)+CHOOSE(WEEKDAY(DATE($D$1,$F$1,1)),1,0,0,0,0,0,2))+14+2*INT((WEEKDAY((DATE($D$1,$F$1,1)+CHOOSE(WEEKDAY(DATE($D$1,$F$1,1)),1,0,0,0,0,0,2)),2)-1+14)/5)))=$F$1,((DATE($D$1,$F$1,1)+CHOOSE(WEEKDAY(DATE($D$1,$F$1,1)),1,0,0,0,0,0,2))+14+2*INT((WEEKDAY((DATE($D$1,$F$1,1)+CHOOSE(WEEKDAY(DATE($D$1,$F$1,1)),1,0,0,0,0,0,2)),2)-1+14)/5)),"")</f>
        <v/>
      </c>
      <c r="B18" s="7" t="n"/>
      <c r="C18" s="7" t="n"/>
      <c r="D18" s="7" t="n"/>
      <c r="E18" s="8">
        <f>IF(A18="","",CHOOSE(WEEKDAY(A18),"일","월","화","수","목","금","토"))</f>
        <v/>
      </c>
      <c r="F18" s="9">
        <f>IF(COUNTA(B18:D18)=0,"",IF(A18="","날짜 없음",IF(OR(AND(B18&lt;&gt;"",B18=C18),AND(B18&lt;&gt;"",B18=D18),AND(C18&lt;&gt;"",C18=D18)),"같은 사람 두 칸",IF(COUNTA('명렬'!$A$2:$A$400)=0,"",IF(OR(AND(B18&lt;&gt;"",COUNTIF('명렬'!$A$2:$A$400,B18)=0),AND(C18&lt;&gt;"",COUNTIF('명렬'!$A$2:$A$400,C18)=0),AND(D18&lt;&gt;"",COUNTIF('명렬'!$A$2:$A$400,D18)=0)),"명렬에 없는 이름","")))))</f>
        <v/>
      </c>
    </row>
    <row r="19">
      <c r="A19" s="6">
        <f>IF(MONTH(((DATE($D$1,$F$1,1)+CHOOSE(WEEKDAY(DATE($D$1,$F$1,1)),1,0,0,0,0,0,2))+15+2*INT((WEEKDAY((DATE($D$1,$F$1,1)+CHOOSE(WEEKDAY(DATE($D$1,$F$1,1)),1,0,0,0,0,0,2)),2)-1+15)/5)))=$F$1,((DATE($D$1,$F$1,1)+CHOOSE(WEEKDAY(DATE($D$1,$F$1,1)),1,0,0,0,0,0,2))+15+2*INT((WEEKDAY((DATE($D$1,$F$1,1)+CHOOSE(WEEKDAY(DATE($D$1,$F$1,1)),1,0,0,0,0,0,2)),2)-1+15)/5)),"")</f>
        <v/>
      </c>
      <c r="B19" s="7" t="n"/>
      <c r="C19" s="7" t="n"/>
      <c r="D19" s="7" t="n"/>
      <c r="E19" s="8">
        <f>IF(A19="","",CHOOSE(WEEKDAY(A19),"일","월","화","수","목","금","토"))</f>
        <v/>
      </c>
      <c r="F19" s="9">
        <f>IF(COUNTA(B19:D19)=0,"",IF(A19="","날짜 없음",IF(OR(AND(B19&lt;&gt;"",B19=C19),AND(B19&lt;&gt;"",B19=D19),AND(C19&lt;&gt;"",C19=D19)),"같은 사람 두 칸",IF(COUNTA('명렬'!$A$2:$A$400)=0,"",IF(OR(AND(B19&lt;&gt;"",COUNTIF('명렬'!$A$2:$A$400,B19)=0),AND(C19&lt;&gt;"",COUNTIF('명렬'!$A$2:$A$400,C19)=0),AND(D19&lt;&gt;"",COUNTIF('명렬'!$A$2:$A$400,D19)=0)),"명렬에 없는 이름","")))))</f>
        <v/>
      </c>
    </row>
    <row r="20">
      <c r="A20" s="6">
        <f>IF(MONTH(((DATE($D$1,$F$1,1)+CHOOSE(WEEKDAY(DATE($D$1,$F$1,1)),1,0,0,0,0,0,2))+16+2*INT((WEEKDAY((DATE($D$1,$F$1,1)+CHOOSE(WEEKDAY(DATE($D$1,$F$1,1)),1,0,0,0,0,0,2)),2)-1+16)/5)))=$F$1,((DATE($D$1,$F$1,1)+CHOOSE(WEEKDAY(DATE($D$1,$F$1,1)),1,0,0,0,0,0,2))+16+2*INT((WEEKDAY((DATE($D$1,$F$1,1)+CHOOSE(WEEKDAY(DATE($D$1,$F$1,1)),1,0,0,0,0,0,2)),2)-1+16)/5)),"")</f>
        <v/>
      </c>
      <c r="B20" s="7" t="n"/>
      <c r="C20" s="7" t="n"/>
      <c r="D20" s="7" t="n"/>
      <c r="E20" s="8">
        <f>IF(A20="","",CHOOSE(WEEKDAY(A20),"일","월","화","수","목","금","토"))</f>
        <v/>
      </c>
      <c r="F20" s="9">
        <f>IF(COUNTA(B20:D20)=0,"",IF(A20="","날짜 없음",IF(OR(AND(B20&lt;&gt;"",B20=C20),AND(B20&lt;&gt;"",B20=D20),AND(C20&lt;&gt;"",C20=D20)),"같은 사람 두 칸",IF(COUNTA('명렬'!$A$2:$A$400)=0,"",IF(OR(AND(B20&lt;&gt;"",COUNTIF('명렬'!$A$2:$A$400,B20)=0),AND(C20&lt;&gt;"",COUNTIF('명렬'!$A$2:$A$400,C20)=0),AND(D20&lt;&gt;"",COUNTIF('명렬'!$A$2:$A$400,D20)=0)),"명렬에 없는 이름","")))))</f>
        <v/>
      </c>
    </row>
    <row r="21">
      <c r="A21" s="6">
        <f>IF(MONTH(((DATE($D$1,$F$1,1)+CHOOSE(WEEKDAY(DATE($D$1,$F$1,1)),1,0,0,0,0,0,2))+17+2*INT((WEEKDAY((DATE($D$1,$F$1,1)+CHOOSE(WEEKDAY(DATE($D$1,$F$1,1)),1,0,0,0,0,0,2)),2)-1+17)/5)))=$F$1,((DATE($D$1,$F$1,1)+CHOOSE(WEEKDAY(DATE($D$1,$F$1,1)),1,0,0,0,0,0,2))+17+2*INT((WEEKDAY((DATE($D$1,$F$1,1)+CHOOSE(WEEKDAY(DATE($D$1,$F$1,1)),1,0,0,0,0,0,2)),2)-1+17)/5)),"")</f>
        <v/>
      </c>
      <c r="B21" s="7" t="n"/>
      <c r="C21" s="7" t="n"/>
      <c r="D21" s="7" t="n"/>
      <c r="E21" s="8">
        <f>IF(A21="","",CHOOSE(WEEKDAY(A21),"일","월","화","수","목","금","토"))</f>
        <v/>
      </c>
      <c r="F21" s="9">
        <f>IF(COUNTA(B21:D21)=0,"",IF(A21="","날짜 없음",IF(OR(AND(B21&lt;&gt;"",B21=C21),AND(B21&lt;&gt;"",B21=D21),AND(C21&lt;&gt;"",C21=D21)),"같은 사람 두 칸",IF(COUNTA('명렬'!$A$2:$A$400)=0,"",IF(OR(AND(B21&lt;&gt;"",COUNTIF('명렬'!$A$2:$A$400,B21)=0),AND(C21&lt;&gt;"",COUNTIF('명렬'!$A$2:$A$400,C21)=0),AND(D21&lt;&gt;"",COUNTIF('명렬'!$A$2:$A$400,D21)=0)),"명렬에 없는 이름","")))))</f>
        <v/>
      </c>
    </row>
    <row r="22">
      <c r="A22" s="6">
        <f>IF(MONTH(((DATE($D$1,$F$1,1)+CHOOSE(WEEKDAY(DATE($D$1,$F$1,1)),1,0,0,0,0,0,2))+18+2*INT((WEEKDAY((DATE($D$1,$F$1,1)+CHOOSE(WEEKDAY(DATE($D$1,$F$1,1)),1,0,0,0,0,0,2)),2)-1+18)/5)))=$F$1,((DATE($D$1,$F$1,1)+CHOOSE(WEEKDAY(DATE($D$1,$F$1,1)),1,0,0,0,0,0,2))+18+2*INT((WEEKDAY((DATE($D$1,$F$1,1)+CHOOSE(WEEKDAY(DATE($D$1,$F$1,1)),1,0,0,0,0,0,2)),2)-1+18)/5)),"")</f>
        <v/>
      </c>
      <c r="B22" s="7" t="n"/>
      <c r="C22" s="7" t="n"/>
      <c r="D22" s="7" t="n"/>
      <c r="E22" s="8">
        <f>IF(A22="","",CHOOSE(WEEKDAY(A22),"일","월","화","수","목","금","토"))</f>
        <v/>
      </c>
      <c r="F22" s="9">
        <f>IF(COUNTA(B22:D22)=0,"",IF(A22="","날짜 없음",IF(OR(AND(B22&lt;&gt;"",B22=C22),AND(B22&lt;&gt;"",B22=D22),AND(C22&lt;&gt;"",C22=D22)),"같은 사람 두 칸",IF(COUNTA('명렬'!$A$2:$A$400)=0,"",IF(OR(AND(B22&lt;&gt;"",COUNTIF('명렬'!$A$2:$A$400,B22)=0),AND(C22&lt;&gt;"",COUNTIF('명렬'!$A$2:$A$400,C22)=0),AND(D22&lt;&gt;"",COUNTIF('명렬'!$A$2:$A$400,D22)=0)),"명렬에 없는 이름","")))))</f>
        <v/>
      </c>
    </row>
    <row r="23">
      <c r="A23" s="6">
        <f>IF(MONTH(((DATE($D$1,$F$1,1)+CHOOSE(WEEKDAY(DATE($D$1,$F$1,1)),1,0,0,0,0,0,2))+19+2*INT((WEEKDAY((DATE($D$1,$F$1,1)+CHOOSE(WEEKDAY(DATE($D$1,$F$1,1)),1,0,0,0,0,0,2)),2)-1+19)/5)))=$F$1,((DATE($D$1,$F$1,1)+CHOOSE(WEEKDAY(DATE($D$1,$F$1,1)),1,0,0,0,0,0,2))+19+2*INT((WEEKDAY((DATE($D$1,$F$1,1)+CHOOSE(WEEKDAY(DATE($D$1,$F$1,1)),1,0,0,0,0,0,2)),2)-1+19)/5)),"")</f>
        <v/>
      </c>
      <c r="B23" s="7" t="n"/>
      <c r="C23" s="7" t="n"/>
      <c r="D23" s="7" t="n"/>
      <c r="E23" s="8">
        <f>IF(A23="","",CHOOSE(WEEKDAY(A23),"일","월","화","수","목","금","토"))</f>
        <v/>
      </c>
      <c r="F23" s="9">
        <f>IF(COUNTA(B23:D23)=0,"",IF(A23="","날짜 없음",IF(OR(AND(B23&lt;&gt;"",B23=C23),AND(B23&lt;&gt;"",B23=D23),AND(C23&lt;&gt;"",C23=D23)),"같은 사람 두 칸",IF(COUNTA('명렬'!$A$2:$A$400)=0,"",IF(OR(AND(B23&lt;&gt;"",COUNTIF('명렬'!$A$2:$A$400,B23)=0),AND(C23&lt;&gt;"",COUNTIF('명렬'!$A$2:$A$400,C23)=0),AND(D23&lt;&gt;"",COUNTIF('명렬'!$A$2:$A$400,D23)=0)),"명렬에 없는 이름","")))))</f>
        <v/>
      </c>
    </row>
    <row r="24">
      <c r="A24" s="6">
        <f>IF(MONTH(((DATE($D$1,$F$1,1)+CHOOSE(WEEKDAY(DATE($D$1,$F$1,1)),1,0,0,0,0,0,2))+20+2*INT((WEEKDAY((DATE($D$1,$F$1,1)+CHOOSE(WEEKDAY(DATE($D$1,$F$1,1)),1,0,0,0,0,0,2)),2)-1+20)/5)))=$F$1,((DATE($D$1,$F$1,1)+CHOOSE(WEEKDAY(DATE($D$1,$F$1,1)),1,0,0,0,0,0,2))+20+2*INT((WEEKDAY((DATE($D$1,$F$1,1)+CHOOSE(WEEKDAY(DATE($D$1,$F$1,1)),1,0,0,0,0,0,2)),2)-1+20)/5)),"")</f>
        <v/>
      </c>
      <c r="B24" s="7" t="n"/>
      <c r="C24" s="7" t="n"/>
      <c r="D24" s="7" t="n"/>
      <c r="E24" s="8">
        <f>IF(A24="","",CHOOSE(WEEKDAY(A24),"일","월","화","수","목","금","토"))</f>
        <v/>
      </c>
      <c r="F24" s="9">
        <f>IF(COUNTA(B24:D24)=0,"",IF(A24="","날짜 없음",IF(OR(AND(B24&lt;&gt;"",B24=C24),AND(B24&lt;&gt;"",B24=D24),AND(C24&lt;&gt;"",C24=D24)),"같은 사람 두 칸",IF(COUNTA('명렬'!$A$2:$A$400)=0,"",IF(OR(AND(B24&lt;&gt;"",COUNTIF('명렬'!$A$2:$A$400,B24)=0),AND(C24&lt;&gt;"",COUNTIF('명렬'!$A$2:$A$400,C24)=0),AND(D24&lt;&gt;"",COUNTIF('명렬'!$A$2:$A$400,D24)=0)),"명렬에 없는 이름","")))))</f>
        <v/>
      </c>
    </row>
    <row r="25">
      <c r="A25" s="6">
        <f>IF(MONTH(((DATE($D$1,$F$1,1)+CHOOSE(WEEKDAY(DATE($D$1,$F$1,1)),1,0,0,0,0,0,2))+21+2*INT((WEEKDAY((DATE($D$1,$F$1,1)+CHOOSE(WEEKDAY(DATE($D$1,$F$1,1)),1,0,0,0,0,0,2)),2)-1+21)/5)))=$F$1,((DATE($D$1,$F$1,1)+CHOOSE(WEEKDAY(DATE($D$1,$F$1,1)),1,0,0,0,0,0,2))+21+2*INT((WEEKDAY((DATE($D$1,$F$1,1)+CHOOSE(WEEKDAY(DATE($D$1,$F$1,1)),1,0,0,0,0,0,2)),2)-1+21)/5)),"")</f>
        <v/>
      </c>
      <c r="B25" s="7" t="n"/>
      <c r="C25" s="7" t="n"/>
      <c r="D25" s="7" t="n"/>
      <c r="E25" s="8">
        <f>IF(A25="","",CHOOSE(WEEKDAY(A25),"일","월","화","수","목","금","토"))</f>
        <v/>
      </c>
      <c r="F25" s="9">
        <f>IF(COUNTA(B25:D25)=0,"",IF(A25="","날짜 없음",IF(OR(AND(B25&lt;&gt;"",B25=C25),AND(B25&lt;&gt;"",B25=D25),AND(C25&lt;&gt;"",C25=D25)),"같은 사람 두 칸",IF(COUNTA('명렬'!$A$2:$A$400)=0,"",IF(OR(AND(B25&lt;&gt;"",COUNTIF('명렬'!$A$2:$A$400,B25)=0),AND(C25&lt;&gt;"",COUNTIF('명렬'!$A$2:$A$400,C25)=0),AND(D25&lt;&gt;"",COUNTIF('명렬'!$A$2:$A$400,D25)=0)),"명렬에 없는 이름","")))))</f>
        <v/>
      </c>
    </row>
    <row r="26">
      <c r="A26" s="6">
        <f>IF(MONTH(((DATE($D$1,$F$1,1)+CHOOSE(WEEKDAY(DATE($D$1,$F$1,1)),1,0,0,0,0,0,2))+22+2*INT((WEEKDAY((DATE($D$1,$F$1,1)+CHOOSE(WEEKDAY(DATE($D$1,$F$1,1)),1,0,0,0,0,0,2)),2)-1+22)/5)))=$F$1,((DATE($D$1,$F$1,1)+CHOOSE(WEEKDAY(DATE($D$1,$F$1,1)),1,0,0,0,0,0,2))+22+2*INT((WEEKDAY((DATE($D$1,$F$1,1)+CHOOSE(WEEKDAY(DATE($D$1,$F$1,1)),1,0,0,0,0,0,2)),2)-1+22)/5)),"")</f>
        <v/>
      </c>
      <c r="B26" s="7" t="n"/>
      <c r="C26" s="7" t="n"/>
      <c r="D26" s="7" t="n"/>
      <c r="E26" s="8">
        <f>IF(A26="","",CHOOSE(WEEKDAY(A26),"일","월","화","수","목","금","토"))</f>
        <v/>
      </c>
      <c r="F26" s="9">
        <f>IF(COUNTA(B26:D26)=0,"",IF(A26="","날짜 없음",IF(OR(AND(B26&lt;&gt;"",B26=C26),AND(B26&lt;&gt;"",B26=D26),AND(C26&lt;&gt;"",C26=D26)),"같은 사람 두 칸",IF(COUNTA('명렬'!$A$2:$A$400)=0,"",IF(OR(AND(B26&lt;&gt;"",COUNTIF('명렬'!$A$2:$A$400,B26)=0),AND(C26&lt;&gt;"",COUNTIF('명렬'!$A$2:$A$400,C26)=0),AND(D26&lt;&gt;"",COUNTIF('명렬'!$A$2:$A$400,D26)=0)),"명렬에 없는 이름","")))))</f>
        <v/>
      </c>
    </row>
    <row r="27">
      <c r="A27" s="10" t="n"/>
      <c r="B27" s="7" t="n"/>
      <c r="C27" s="7" t="n"/>
      <c r="D27" s="7" t="n"/>
      <c r="E27" s="8">
        <f>IF(A27="","",CHOOSE(WEEKDAY(A27),"일","월","화","수","목","금","토"))</f>
        <v/>
      </c>
      <c r="F27" s="9">
        <f>IF(COUNTA(B27:D27)=0,"",IF(A27="","날짜 없음",IF(OR(AND(B27&lt;&gt;"",B27=C27),AND(B27&lt;&gt;"",B27=D27),AND(C27&lt;&gt;"",C27=D27)),"같은 사람 두 칸",IF(COUNTA('명렬'!$A$2:$A$400)=0,"",IF(OR(AND(B27&lt;&gt;"",COUNTIF('명렬'!$A$2:$A$400,B27)=0),AND(C27&lt;&gt;"",COUNTIF('명렬'!$A$2:$A$400,C27)=0),AND(D27&lt;&gt;"",COUNTIF('명렬'!$A$2:$A$400,D27)=0)),"명렬에 없는 이름","")))))</f>
        <v/>
      </c>
    </row>
    <row r="28">
      <c r="A28" s="10" t="n"/>
      <c r="B28" s="7" t="n"/>
      <c r="C28" s="7" t="n"/>
      <c r="D28" s="7" t="n"/>
      <c r="E28" s="8">
        <f>IF(A28="","",CHOOSE(WEEKDAY(A28),"일","월","화","수","목","금","토"))</f>
        <v/>
      </c>
      <c r="F28" s="9">
        <f>IF(COUNTA(B28:D28)=0,"",IF(A28="","날짜 없음",IF(OR(AND(B28&lt;&gt;"",B28=C28),AND(B28&lt;&gt;"",B28=D28),AND(C28&lt;&gt;"",C28=D28)),"같은 사람 두 칸",IF(COUNTA('명렬'!$A$2:$A$400)=0,"",IF(OR(AND(B28&lt;&gt;"",COUNTIF('명렬'!$A$2:$A$400,B28)=0),AND(C28&lt;&gt;"",COUNTIF('명렬'!$A$2:$A$400,C28)=0),AND(D28&lt;&gt;"",COUNTIF('명렬'!$A$2:$A$400,D28)=0)),"명렬에 없는 이름","")))))</f>
        <v/>
      </c>
    </row>
    <row r="29">
      <c r="A29" s="10" t="n"/>
      <c r="B29" s="7" t="n"/>
      <c r="C29" s="7" t="n"/>
      <c r="D29" s="7" t="n"/>
      <c r="E29" s="8">
        <f>IF(A29="","",CHOOSE(WEEKDAY(A29),"일","월","화","수","목","금","토"))</f>
        <v/>
      </c>
      <c r="F29" s="9">
        <f>IF(COUNTA(B29:D29)=0,"",IF(A29="","날짜 없음",IF(OR(AND(B29&lt;&gt;"",B29=C29),AND(B29&lt;&gt;"",B29=D29),AND(C29&lt;&gt;"",C29=D29)),"같은 사람 두 칸",IF(COUNTA('명렬'!$A$2:$A$400)=0,"",IF(OR(AND(B29&lt;&gt;"",COUNTIF('명렬'!$A$2:$A$400,B29)=0),AND(C29&lt;&gt;"",COUNTIF('명렬'!$A$2:$A$400,C29)=0),AND(D29&lt;&gt;"",COUNTIF('명렬'!$A$2:$A$400,D29)=0)),"명렬에 없는 이름","")))))</f>
        <v/>
      </c>
    </row>
    <row r="30">
      <c r="A30" s="10" t="n"/>
      <c r="B30" s="7" t="n"/>
      <c r="C30" s="7" t="n"/>
      <c r="D30" s="7" t="n"/>
      <c r="E30" s="8">
        <f>IF(A30="","",CHOOSE(WEEKDAY(A30),"일","월","화","수","목","금","토"))</f>
        <v/>
      </c>
      <c r="F30" s="9">
        <f>IF(COUNTA(B30:D30)=0,"",IF(A30="","날짜 없음",IF(OR(AND(B30&lt;&gt;"",B30=C30),AND(B30&lt;&gt;"",B30=D30),AND(C30&lt;&gt;"",C30=D30)),"같은 사람 두 칸",IF(COUNTA('명렬'!$A$2:$A$400)=0,"",IF(OR(AND(B30&lt;&gt;"",COUNTIF('명렬'!$A$2:$A$400,B30)=0),AND(C30&lt;&gt;"",COUNTIF('명렬'!$A$2:$A$400,C30)=0),AND(D30&lt;&gt;"",COUNTIF('명렬'!$A$2:$A$400,D30)=0)),"명렬에 없는 이름","")))))</f>
        <v/>
      </c>
    </row>
    <row r="31">
      <c r="A31" s="10" t="n"/>
      <c r="B31" s="7" t="n"/>
      <c r="C31" s="7" t="n"/>
      <c r="D31" s="7" t="n"/>
      <c r="E31" s="8">
        <f>IF(A31="","",CHOOSE(WEEKDAY(A31),"일","월","화","수","목","금","토"))</f>
        <v/>
      </c>
      <c r="F31" s="9">
        <f>IF(COUNTA(B31:D31)=0,"",IF(A31="","날짜 없음",IF(OR(AND(B31&lt;&gt;"",B31=C31),AND(B31&lt;&gt;"",B31=D31),AND(C31&lt;&gt;"",C31=D31)),"같은 사람 두 칸",IF(COUNTA('명렬'!$A$2:$A$400)=0,"",IF(OR(AND(B31&lt;&gt;"",COUNTIF('명렬'!$A$2:$A$400,B31)=0),AND(C31&lt;&gt;"",COUNTIF('명렬'!$A$2:$A$400,C31)=0),AND(D31&lt;&gt;"",COUNTIF('명렬'!$A$2:$A$400,D31)=0)),"명렬에 없는 이름","")))))</f>
        <v/>
      </c>
    </row>
    <row r="32">
      <c r="A32" s="10" t="n"/>
      <c r="B32" s="7" t="n"/>
      <c r="C32" s="7" t="n"/>
      <c r="D32" s="7" t="n"/>
      <c r="E32" s="8">
        <f>IF(A32="","",CHOOSE(WEEKDAY(A32),"일","월","화","수","목","금","토"))</f>
        <v/>
      </c>
      <c r="F32" s="9">
        <f>IF(COUNTA(B32:D32)=0,"",IF(A32="","날짜 없음",IF(OR(AND(B32&lt;&gt;"",B32=C32),AND(B32&lt;&gt;"",B32=D32),AND(C32&lt;&gt;"",C32=D32)),"같은 사람 두 칸",IF(COUNTA('명렬'!$A$2:$A$400)=0,"",IF(OR(AND(B32&lt;&gt;"",COUNTIF('명렬'!$A$2:$A$400,B32)=0),AND(C32&lt;&gt;"",COUNTIF('명렬'!$A$2:$A$400,C32)=0),AND(D32&lt;&gt;"",COUNTIF('명렬'!$A$2:$A$400,D32)=0)),"명렬에 없는 이름","")))))</f>
        <v/>
      </c>
    </row>
    <row r="33">
      <c r="A33" s="10" t="n"/>
      <c r="B33" s="7" t="n"/>
      <c r="C33" s="7" t="n"/>
      <c r="D33" s="7" t="n"/>
      <c r="E33" s="8">
        <f>IF(A33="","",CHOOSE(WEEKDAY(A33),"일","월","화","수","목","금","토"))</f>
        <v/>
      </c>
      <c r="F33" s="9">
        <f>IF(COUNTA(B33:D33)=0,"",IF(A33="","날짜 없음",IF(OR(AND(B33&lt;&gt;"",B33=C33),AND(B33&lt;&gt;"",B33=D33),AND(C33&lt;&gt;"",C33=D33)),"같은 사람 두 칸",IF(COUNTA('명렬'!$A$2:$A$400)=0,"",IF(OR(AND(B33&lt;&gt;"",COUNTIF('명렬'!$A$2:$A$400,B33)=0),AND(C33&lt;&gt;"",COUNTIF('명렬'!$A$2:$A$400,C33)=0),AND(D33&lt;&gt;"",COUNTIF('명렬'!$A$2:$A$400,D33)=0)),"명렬에 없는 이름","")))))</f>
        <v/>
      </c>
    </row>
  </sheetData>
  <mergeCells count="1">
    <mergeCell ref="A2:F2"/>
  </mergeCells>
  <conditionalFormatting sqref="A4:D33">
    <cfRule type="expression" priority="1" dxfId="0">
      <formula>$F4&lt;&gt;""</formula>
    </cfRule>
  </conditionalFormatting>
  <conditionalFormatting sqref="E4:E33">
    <cfRule type="expression" priority="2" dxfId="1">
      <formula>OR($E4="토",$E4="일")</formula>
    </cfRule>
  </conditionalFormatting>
  <dataValidations count="1">
    <dataValidation sqref="B4:D33" showDropDown="0" showInputMessage="0" showErrorMessage="1" allowBlank="1" errorTitle="명렬에 없는 이름" error="명렬 시트에 없는 이름입니다. 앱에서 「명렬에 없음」으로 막힙니다." type="list" errorStyle="warning">
      <formula1>='명렬'!$A$2:$A$400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1" t="inlineStr">
        <is>
          <t>이름</t>
        </is>
      </c>
      <c r="B1" s="3" t="inlineStr">
        <is>
          <t>← 선생님 이름을 A열에 한 줄에 한 명씩 붙여 넣으세요(교원 명렬 엑셀의 이름 열). 감독 칸의 고르기 목록과 「명렬에 없는 이름」 확인에 씁니다.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3" t="inlineStr">
        <is>
          <t>자율학습 감독표 양식</t>
        </is>
      </c>
    </row>
    <row r="2">
      <c r="A2" s="14" t="inlineStr"/>
    </row>
    <row r="3">
      <c r="A3" s="14" t="inlineStr">
        <is>
          <t>1. 「명렬」 시트 A열에 선생님 이름을 붙여 넣습니다 (한 번만).</t>
        </is>
      </c>
    </row>
    <row r="4">
      <c r="A4" s="14" t="inlineStr">
        <is>
          <t>2. 「감독표」 시트 맨 위 노란 칸에 학년·연도·월을 적습니다. 그달 평일이 날짜 칸에 채워집니다.</t>
        </is>
      </c>
    </row>
    <row r="5">
      <c r="A5" s="14" t="inlineStr">
        <is>
          <t>3. 자율학습이 없는 날(공휴일·시험 등)은 그 줄의 날짜 칸을 지웁니다. 토요일 등은 아래 노란 날짜 칸에 직접 적습니다.</t>
        </is>
      </c>
    </row>
    <row r="6">
      <c r="A6" s="14" t="inlineStr">
        <is>
          <t>4. 감독1·감독2·감독3(심야) 칸을 채웁니다. 칸을 누르면 명렬에서 고를 수 있습니다.</t>
        </is>
      </c>
    </row>
    <row r="7">
      <c r="A7" s="14" t="inlineStr">
        <is>
          <t>5. 「확인」 열이 비어 있는지 봅니다 (같은 사람 두 칸, 명렬에 없는 이름이면 빨갛게 표시됩니다).</t>
        </is>
      </c>
    </row>
    <row r="8">
      <c r="A8" s="14" t="inlineStr">
        <is>
          <t>6. A~D열(날짜·감독1·감독2·감독3)을 드래그해 복사(Ctrl+C) → 앱 「🌙 감독표 → 배정」 칸에 붙여 넣기 → 미리보기 → 확정.</t>
        </is>
      </c>
    </row>
    <row r="9">
      <c r="A9" s="14" t="inlineStr"/>
    </row>
    <row r="10">
      <c r="A10" s="14" t="inlineStr">
        <is>
          <t>· 머리글 줄(날짜·감독1…)이나 비어 있는 줄은 같이 복사돼도 앱이 건너뜁니다.</t>
        </is>
      </c>
    </row>
    <row r="11">
      <c r="A11" s="14" t="inlineStr">
        <is>
          <t>· 이미 배정된 날짜는 덮어쓰지 않습니다. 바꾸려면 앱 「감독표」 화면에서 칸을 눌러 정정합니다.</t>
        </is>
      </c>
    </row>
    <row r="12">
      <c r="A12" s="14" t="inlineStr">
        <is>
          <t>· 한 학년 세 칸만 들어갑니다. 다른 학년 칸은 그 학년 기획 담당이 넣습니다.</t>
        </is>
      </c>
    </row>
    <row r="13">
      <c r="A13" s="14" t="inlineStr"/>
    </row>
    <row r="14">
      <c r="A14" s="15" t="inlineStr">
        <is>
          <t>예시 (붙여 넣으면 이렇게 들어갑니다)</t>
        </is>
      </c>
    </row>
    <row r="15">
      <c r="A15" s="11" t="inlineStr">
        <is>
          <t>날짜</t>
        </is>
      </c>
      <c r="B15" s="11" t="inlineStr">
        <is>
          <t>감독1</t>
        </is>
      </c>
      <c r="C15" s="11" t="inlineStr">
        <is>
          <t>감독2</t>
        </is>
      </c>
      <c r="D15" s="11" t="inlineStr">
        <is>
          <t>감독3 (심야)</t>
        </is>
      </c>
    </row>
    <row r="16">
      <c r="A16" s="16" t="inlineStr">
        <is>
          <t>2026-11-02</t>
        </is>
      </c>
      <c r="B16" s="16" t="inlineStr">
        <is>
          <t>김○○</t>
        </is>
      </c>
      <c r="C16" s="16" t="inlineStr">
        <is>
          <t>이○○</t>
        </is>
      </c>
      <c r="D16" s="16" t="inlineStr">
        <is>
          <t>박○○</t>
        </is>
      </c>
    </row>
    <row r="17">
      <c r="A17" s="16" t="inlineStr">
        <is>
          <t>2026-11-03</t>
        </is>
      </c>
      <c r="B17" s="16" t="inlineStr">
        <is>
          <t>정○○</t>
        </is>
      </c>
      <c r="C17" s="16" t="inlineStr">
        <is>
          <t>한○○</t>
        </is>
      </c>
      <c r="D17" s="16" t="inlineStr">
        <is>
          <t>오○○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2026-10-02T06:53:50Z</dcterms:created>
  <dcterms:modified xsi:type="dcterms:W3CDTF">2026-10-02T06:53:50Z</dcterms:modified>
</cp:coreProperties>
</file>